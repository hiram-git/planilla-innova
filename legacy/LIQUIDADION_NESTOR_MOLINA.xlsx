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70" windowWidth="18495" windowHeight="1170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F139" i="1"/>
  <c r="F137"/>
  <c r="F136"/>
  <c r="F135"/>
  <c r="F131"/>
  <c r="F130"/>
  <c r="F125"/>
  <c r="D124"/>
  <c r="C124"/>
  <c r="C140" s="1"/>
  <c r="E123"/>
  <c r="D123"/>
  <c r="A118"/>
  <c r="A117"/>
  <c r="F160" s="1"/>
  <c r="A116"/>
  <c r="G63"/>
  <c r="G86" s="1"/>
  <c r="B63"/>
  <c r="B86" s="1"/>
  <c r="G62"/>
  <c r="G85" s="1"/>
  <c r="B62"/>
  <c r="B85" s="1"/>
  <c r="G61"/>
  <c r="G84" s="1"/>
  <c r="B61"/>
  <c r="B84" s="1"/>
  <c r="G60"/>
  <c r="G83" s="1"/>
  <c r="B60"/>
  <c r="B83" s="1"/>
  <c r="G59"/>
  <c r="G82" s="1"/>
  <c r="B59"/>
  <c r="B82" s="1"/>
  <c r="G58"/>
  <c r="G81" s="1"/>
  <c r="B58"/>
  <c r="B81" s="1"/>
  <c r="G57"/>
  <c r="G80" s="1"/>
  <c r="B57"/>
  <c r="B80" s="1"/>
  <c r="G56"/>
  <c r="G79" s="1"/>
  <c r="B56"/>
  <c r="B79" s="1"/>
  <c r="G55"/>
  <c r="G78" s="1"/>
  <c r="B55"/>
  <c r="B78" s="1"/>
  <c r="G54"/>
  <c r="G77" s="1"/>
  <c r="B54"/>
  <c r="B77" s="1"/>
  <c r="G53"/>
  <c r="G76" s="1"/>
  <c r="G87" s="1"/>
  <c r="G90" s="1"/>
  <c r="B53"/>
  <c r="B76" s="1"/>
  <c r="B87" s="1"/>
  <c r="B90" s="1"/>
  <c r="B134" s="1"/>
  <c r="F134" s="1"/>
  <c r="G41"/>
  <c r="B41"/>
  <c r="G27"/>
  <c r="G29" s="1"/>
  <c r="G31" s="1"/>
  <c r="G32" s="1"/>
  <c r="B27"/>
  <c r="B29" s="1"/>
  <c r="B31" s="1"/>
  <c r="B32" s="1"/>
  <c r="G10"/>
  <c r="G9"/>
  <c r="B127" l="1"/>
  <c r="G64"/>
  <c r="G42"/>
  <c r="G43"/>
  <c r="G46" s="1"/>
  <c r="B129" s="1"/>
  <c r="B126"/>
  <c r="B64"/>
  <c r="B42"/>
  <c r="B43" s="1"/>
  <c r="B46" s="1"/>
  <c r="B128" s="1"/>
  <c r="G65"/>
  <c r="G68" s="1"/>
  <c r="B133" s="1"/>
  <c r="F133" s="1"/>
  <c r="F123"/>
  <c r="B65"/>
  <c r="B68" s="1"/>
  <c r="B132" s="1"/>
  <c r="F132" s="1"/>
  <c r="F124"/>
  <c r="D127" l="1"/>
  <c r="F127" s="1"/>
  <c r="D128"/>
  <c r="F128"/>
  <c r="E126"/>
  <c r="E140" s="1"/>
  <c r="B140"/>
  <c r="D126"/>
  <c r="F126" s="1"/>
  <c r="D129"/>
  <c r="F129" s="1"/>
  <c r="D140" l="1"/>
  <c r="F140" s="1"/>
  <c r="F144" s="1"/>
</calcChain>
</file>

<file path=xl/sharedStrings.xml><?xml version="1.0" encoding="utf-8"?>
<sst xmlns="http://schemas.openxmlformats.org/spreadsheetml/2006/main" count="223" uniqueCount="110">
  <si>
    <t>ICA</t>
  </si>
  <si>
    <t>LIQUIDACION LABORAL</t>
  </si>
  <si>
    <t>DEL 5 DE MAYO DE 2008   HASTA  EL 15  DE DICIEMBRE  DEL  2008</t>
  </si>
  <si>
    <t xml:space="preserve">Nombre: </t>
  </si>
  <si>
    <t>NESTOR MOLINA</t>
  </si>
  <si>
    <t xml:space="preserve">Fecha de Ingreso:  </t>
  </si>
  <si>
    <t xml:space="preserve">Cédula: </t>
  </si>
  <si>
    <t>3-717-716</t>
  </si>
  <si>
    <t>Fecha de Salida:</t>
  </si>
  <si>
    <t>15/12/2008</t>
  </si>
  <si>
    <t xml:space="preserve">Departamento: </t>
  </si>
  <si>
    <t xml:space="preserve">ADMINISTRACCION </t>
  </si>
  <si>
    <t xml:space="preserve">Tiempo de servicios  </t>
  </si>
  <si>
    <t xml:space="preserve">7 MESES Y 10 DIAS </t>
  </si>
  <si>
    <t xml:space="preserve">Puesto:  </t>
  </si>
  <si>
    <t xml:space="preserve">ENCARGADO DE RECURSOS HUMANOS </t>
  </si>
  <si>
    <t>SALARIO MENSUAL:</t>
  </si>
  <si>
    <t>CODIGO CORPORATIVO</t>
  </si>
  <si>
    <t>RATA /HORA</t>
  </si>
  <si>
    <t>CAUSAL:  ARTICULO 212</t>
  </si>
  <si>
    <t>SALARIO DIARIO</t>
  </si>
  <si>
    <t>Calculo de Vacaciones Proporcionales</t>
  </si>
  <si>
    <t xml:space="preserve">VACACIONES PROPORCIONAL </t>
  </si>
  <si>
    <t>VACACIONES PROPORCIONAL GASTO REPRESENTACION</t>
  </si>
  <si>
    <t>FECHA</t>
  </si>
  <si>
    <t>Salario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</si>
  <si>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</si>
  <si>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</si>
  <si>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</si>
  <si>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</si>
  <si>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</si>
  <si>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</si>
  <si>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</si>
  <si>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</si>
  <si>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</si>
  <si>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</si>
  <si>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</si>
  <si>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 xml:space="preserve">DICIEMBER </t>
  </si>
  <si>
    <t>Sub-total</t>
  </si>
  <si>
    <t>Ajustar Acumulado</t>
  </si>
  <si>
    <t>Acumulado</t>
  </si>
  <si>
    <t>Ingreso pendiente</t>
  </si>
  <si>
    <t>Promedio = Acumulado /11</t>
  </si>
  <si>
    <t>VACACIONES PROPORCIONALES</t>
  </si>
  <si>
    <t>VPGR</t>
  </si>
  <si>
    <t>Cálculo de XIII mes PROPORCIONAL</t>
  </si>
  <si>
    <t>DECIMO PROPORC.</t>
  </si>
  <si>
    <t>DECIMO PROPORC. GR</t>
  </si>
  <si>
    <t>IIQNA. DE AGOSTO 2008</t>
  </si>
  <si>
    <t>Sub-Total</t>
  </si>
  <si>
    <t>Vac. Proporcionales</t>
  </si>
  <si>
    <t>XIII mes = Acumulado /12</t>
  </si>
  <si>
    <t>Total XIII mes x pagar</t>
  </si>
  <si>
    <t>PRIMA DE ANTIGÜEDAD</t>
  </si>
  <si>
    <t>PRIMA DE ANTIGÜEDAD GR</t>
  </si>
  <si>
    <t xml:space="preserve">FEBRERO </t>
  </si>
  <si>
    <t xml:space="preserve">MARZO </t>
  </si>
  <si>
    <t>VACACIONES</t>
  </si>
  <si>
    <t>VACACIONES G. REP.</t>
  </si>
  <si>
    <t>Ajustar acumulado</t>
  </si>
  <si>
    <t>PRIMA DE ANTIGÜEDAD: 1.92%</t>
  </si>
  <si>
    <t>PRIMA DE ANTIGÜEDAD: 1.923%</t>
  </si>
  <si>
    <t>INDEMIZACIÓN</t>
  </si>
  <si>
    <t>INDEMNIZACIÓN</t>
  </si>
  <si>
    <t>INDEMNIZACIÓN GR</t>
  </si>
  <si>
    <t>INDEMNIZACIÓN: 6.54%</t>
  </si>
  <si>
    <t>Preparado por:</t>
  </si>
  <si>
    <t xml:space="preserve">NESTOR MOLINA </t>
  </si>
  <si>
    <t>Autorizado por:</t>
  </si>
  <si>
    <t>Fecha:</t>
  </si>
  <si>
    <t>___________________________________________</t>
  </si>
  <si>
    <t>Revisado por:</t>
  </si>
  <si>
    <t xml:space="preserve">LIC. DOMINGO CORDOBA </t>
  </si>
  <si>
    <t>LIC. ANTONIO RODARTE MENDEZ</t>
  </si>
  <si>
    <t>FECHA DE APORBACIÓN:_____________________________________</t>
  </si>
  <si>
    <t>___________________________________________________</t>
  </si>
  <si>
    <t>ING. OSCAR RUIZ VALERO</t>
  </si>
  <si>
    <t>Detalle</t>
  </si>
  <si>
    <t>Ingresos</t>
  </si>
  <si>
    <t>Seguro</t>
  </si>
  <si>
    <t>I.S.R.</t>
  </si>
  <si>
    <t>social</t>
  </si>
  <si>
    <t>educativo</t>
  </si>
  <si>
    <t xml:space="preserve">Neto a </t>
  </si>
  <si>
    <t>pagar</t>
  </si>
  <si>
    <t>Salarios x pagar</t>
  </si>
  <si>
    <t>Gasto de Representación</t>
  </si>
  <si>
    <t>Horas Extras</t>
  </si>
  <si>
    <t>Vacaciones Proporcionales x pagar</t>
  </si>
  <si>
    <t>Vacaciones x Gastos Rep.</t>
  </si>
  <si>
    <t>Décimo tercer mes proporcional</t>
  </si>
  <si>
    <t>Décimo tercer mes x gasto rep.</t>
  </si>
  <si>
    <t xml:space="preserve">Preaviso </t>
  </si>
  <si>
    <t>Preaviso x gasto rep.</t>
  </si>
  <si>
    <t>Prima de Antigüedad</t>
  </si>
  <si>
    <t>Prima de Antigüedad gasto de rep.</t>
  </si>
  <si>
    <t>Indemnización</t>
  </si>
  <si>
    <t>Recargo de indeminzación 25%</t>
  </si>
  <si>
    <t>Aporte del 6%</t>
  </si>
  <si>
    <t xml:space="preserve">Saldos por pagar celular </t>
  </si>
  <si>
    <t>ASSA-SEGURO DE VIDA</t>
  </si>
  <si>
    <t xml:space="preserve">  </t>
  </si>
  <si>
    <t>BONIFICACION POR ASISTENCIA</t>
  </si>
  <si>
    <t>TOTALES</t>
  </si>
  <si>
    <t>Anticipo quincena</t>
  </si>
  <si>
    <t>Anticipo Salarial</t>
  </si>
  <si>
    <t>Total a pagar</t>
  </si>
  <si>
    <t xml:space="preserve">NESTOR MOLINA VALENCIA </t>
  </si>
  <si>
    <t>_____________________________</t>
  </si>
  <si>
    <t xml:space="preserve">Recibido por: </t>
  </si>
</sst>
</file>

<file path=xl/styles.xml><?xml version="1.0" encoding="utf-8"?>
<styleSheet xmlns="http://schemas.openxmlformats.org/spreadsheetml/2006/main">
  <numFmts count="7">
    <numFmt numFmtId="44" formatCode="_(&quot;B/.&quot;\ * #,##0.00_);_(&quot;B/.&quot;\ * \(#,##0.00\);_(&quot;B/.&quot;\ * &quot;-&quot;??_);_(@_)"/>
    <numFmt numFmtId="43" formatCode="_(* #,##0.00_);_(* \(#,##0.00\);_(* &quot;-&quot;??_);_(@_)"/>
    <numFmt numFmtId="164" formatCode="_ * #,##0.00_ ;_ * \-#,##0.00_ ;_ * &quot;-&quot;??_ ;_ @_ "/>
    <numFmt numFmtId="165" formatCode="#,##0.00;[Red]#,##0.00"/>
    <numFmt numFmtId="166" formatCode="mmmm/yyyy"/>
    <numFmt numFmtId="167" formatCode="#,##0.00_ ;\-#,##0.00\ "/>
    <numFmt numFmtId="168" formatCode="_ &quot;B/.&quot;\ * #,##0.00_ ;_ &quot;B/.&quot;\ * \-#,##0.00_ ;_ &quot;B/.&quot;\ * &quot;-&quot;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Bookman Old Style"/>
      <family val="1"/>
    </font>
    <font>
      <sz val="8"/>
      <name val="Bookman Old Style"/>
      <family val="1"/>
    </font>
    <font>
      <sz val="12"/>
      <name val="Bookman Old Style"/>
      <family val="1"/>
    </font>
    <font>
      <b/>
      <sz val="10"/>
      <name val="Arial"/>
      <family val="2"/>
    </font>
    <font>
      <b/>
      <sz val="9"/>
      <name val="Bookman Old Style"/>
      <family val="1"/>
    </font>
    <font>
      <sz val="9"/>
      <name val="Bookman Old Style"/>
      <family val="1"/>
    </font>
    <font>
      <b/>
      <sz val="9"/>
      <color indexed="48"/>
      <name val="Bookman Old Style"/>
      <family val="1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 applyBorder="1"/>
    <xf numFmtId="0" fontId="3" fillId="0" borderId="0" xfId="0" applyFont="1"/>
    <xf numFmtId="0" fontId="2" fillId="0" borderId="0" xfId="0" applyFont="1"/>
    <xf numFmtId="164" fontId="2" fillId="0" borderId="0" xfId="1" applyNumberFormat="1" applyFont="1"/>
    <xf numFmtId="14" fontId="2" fillId="0" borderId="0" xfId="0" applyNumberFormat="1" applyFont="1"/>
    <xf numFmtId="164" fontId="4" fillId="0" borderId="0" xfId="1" applyNumberFormat="1" applyFont="1" applyAlignment="1">
      <alignment horizontal="left"/>
    </xf>
    <xf numFmtId="0" fontId="4" fillId="0" borderId="0" xfId="0" applyFont="1"/>
    <xf numFmtId="14" fontId="2" fillId="0" borderId="0" xfId="0" applyNumberFormat="1" applyFont="1" applyAlignment="1">
      <alignment horizontal="right"/>
    </xf>
    <xf numFmtId="164" fontId="2" fillId="0" borderId="0" xfId="1" applyNumberFormat="1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1" applyNumberFormat="1" applyFont="1" applyAlignment="1">
      <alignment horizontal="right"/>
    </xf>
    <xf numFmtId="164" fontId="3" fillId="0" borderId="0" xfId="0" applyNumberFormat="1" applyFont="1" applyBorder="1"/>
    <xf numFmtId="1" fontId="2" fillId="0" borderId="0" xfId="1" applyNumberFormat="1" applyFont="1" applyAlignment="1">
      <alignment horizontal="left"/>
    </xf>
    <xf numFmtId="164" fontId="2" fillId="0" borderId="0" xfId="0" applyNumberFormat="1" applyFont="1"/>
    <xf numFmtId="165" fontId="3" fillId="0" borderId="0" xfId="0" applyNumberFormat="1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14" fontId="3" fillId="0" borderId="13" xfId="0" applyNumberFormat="1" applyFont="1" applyBorder="1" applyAlignment="1">
      <alignment horizontal="left"/>
    </xf>
    <xf numFmtId="164" fontId="3" fillId="0" borderId="14" xfId="1" applyNumberFormat="1" applyFont="1" applyBorder="1" applyAlignment="1">
      <alignment horizontal="right"/>
    </xf>
    <xf numFmtId="2" fontId="3" fillId="0" borderId="0" xfId="0" applyNumberFormat="1" applyFont="1" applyBorder="1"/>
    <xf numFmtId="14" fontId="3" fillId="0" borderId="15" xfId="0" applyNumberFormat="1" applyFont="1" applyBorder="1" applyAlignment="1">
      <alignment horizontal="left"/>
    </xf>
    <xf numFmtId="164" fontId="3" fillId="0" borderId="16" xfId="1" applyNumberFormat="1" applyFont="1" applyBorder="1" applyAlignment="1">
      <alignment horizontal="right"/>
    </xf>
    <xf numFmtId="166" fontId="2" fillId="0" borderId="15" xfId="0" applyNumberFormat="1" applyFont="1" applyBorder="1" applyAlignment="1">
      <alignment horizontal="left"/>
    </xf>
    <xf numFmtId="164" fontId="2" fillId="0" borderId="16" xfId="1" applyNumberFormat="1" applyFont="1" applyBorder="1"/>
    <xf numFmtId="0" fontId="3" fillId="0" borderId="15" xfId="0" applyFont="1" applyBorder="1"/>
    <xf numFmtId="164" fontId="3" fillId="0" borderId="17" xfId="1" applyNumberFormat="1" applyFont="1" applyBorder="1"/>
    <xf numFmtId="0" fontId="2" fillId="0" borderId="15" xfId="0" applyFont="1" applyBorder="1"/>
    <xf numFmtId="164" fontId="3" fillId="0" borderId="14" xfId="1" applyNumberFormat="1" applyFont="1" applyFill="1" applyBorder="1"/>
    <xf numFmtId="164" fontId="3" fillId="0" borderId="18" xfId="1" applyNumberFormat="1" applyFont="1" applyBorder="1"/>
    <xf numFmtId="0" fontId="2" fillId="0" borderId="1" xfId="0" applyFont="1" applyBorder="1"/>
    <xf numFmtId="167" fontId="2" fillId="0" borderId="19" xfId="1" applyNumberFormat="1" applyFont="1" applyBorder="1"/>
    <xf numFmtId="2" fontId="2" fillId="0" borderId="2" xfId="0" applyNumberFormat="1" applyFont="1" applyBorder="1"/>
    <xf numFmtId="0" fontId="2" fillId="0" borderId="20" xfId="0" applyFont="1" applyBorder="1"/>
    <xf numFmtId="4" fontId="2" fillId="0" borderId="21" xfId="0" applyNumberFormat="1" applyFont="1" applyBorder="1"/>
    <xf numFmtId="167" fontId="3" fillId="0" borderId="0" xfId="0" applyNumberFormat="1" applyFont="1" applyBorder="1"/>
    <xf numFmtId="164" fontId="3" fillId="0" borderId="0" xfId="1" applyNumberFormat="1" applyFont="1" applyBorder="1"/>
    <xf numFmtId="0" fontId="2" fillId="0" borderId="0" xfId="0" applyFont="1" applyBorder="1"/>
    <xf numFmtId="168" fontId="2" fillId="0" borderId="22" xfId="0" applyNumberFormat="1" applyFont="1" applyBorder="1"/>
    <xf numFmtId="0" fontId="2" fillId="0" borderId="26" xfId="0" applyFont="1" applyBorder="1" applyAlignment="1">
      <alignment horizontal="center"/>
    </xf>
    <xf numFmtId="164" fontId="2" fillId="0" borderId="27" xfId="1" applyNumberFormat="1" applyFont="1" applyBorder="1" applyAlignment="1">
      <alignment horizontal="center"/>
    </xf>
    <xf numFmtId="166" fontId="3" fillId="0" borderId="15" xfId="0" applyNumberFormat="1" applyFont="1" applyBorder="1" applyAlignment="1">
      <alignment horizontal="right"/>
    </xf>
    <xf numFmtId="164" fontId="3" fillId="0" borderId="28" xfId="1" applyNumberFormat="1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64" fontId="3" fillId="0" borderId="29" xfId="1" applyNumberFormat="1" applyFont="1" applyBorder="1" applyAlignment="1">
      <alignment horizontal="right"/>
    </xf>
    <xf numFmtId="164" fontId="3" fillId="0" borderId="26" xfId="1" applyNumberFormat="1" applyFont="1" applyFill="1" applyBorder="1"/>
    <xf numFmtId="164" fontId="3" fillId="0" borderId="26" xfId="1" applyNumberFormat="1" applyFont="1" applyBorder="1"/>
    <xf numFmtId="164" fontId="2" fillId="0" borderId="19" xfId="1" applyNumberFormat="1" applyFont="1" applyBorder="1"/>
    <xf numFmtId="0" fontId="2" fillId="0" borderId="11" xfId="0" applyFont="1" applyBorder="1"/>
    <xf numFmtId="43" fontId="2" fillId="0" borderId="0" xfId="0" applyNumberFormat="1" applyFont="1" applyBorder="1"/>
    <xf numFmtId="0" fontId="3" fillId="0" borderId="30" xfId="0" applyFont="1" applyBorder="1"/>
    <xf numFmtId="164" fontId="3" fillId="0" borderId="31" xfId="1" applyNumberFormat="1" applyFont="1" applyBorder="1"/>
    <xf numFmtId="0" fontId="3" fillId="0" borderId="31" xfId="0" applyFont="1" applyBorder="1"/>
    <xf numFmtId="0" fontId="3" fillId="0" borderId="32" xfId="0" applyFont="1" applyBorder="1"/>
    <xf numFmtId="0" fontId="2" fillId="0" borderId="33" xfId="0" applyFont="1" applyBorder="1"/>
    <xf numFmtId="168" fontId="2" fillId="0" borderId="19" xfId="0" applyNumberFormat="1" applyFont="1" applyBorder="1"/>
    <xf numFmtId="0" fontId="3" fillId="0" borderId="22" xfId="0" applyFont="1" applyBorder="1"/>
    <xf numFmtId="0" fontId="2" fillId="0" borderId="19" xfId="0" applyFont="1" applyBorder="1" applyAlignment="1">
      <alignment horizontal="center"/>
    </xf>
    <xf numFmtId="164" fontId="2" fillId="0" borderId="19" xfId="1" applyNumberFormat="1" applyFont="1" applyBorder="1" applyAlignment="1">
      <alignment horizontal="center"/>
    </xf>
    <xf numFmtId="166" fontId="3" fillId="0" borderId="15" xfId="0" applyNumberFormat="1" applyFont="1" applyBorder="1"/>
    <xf numFmtId="164" fontId="2" fillId="0" borderId="26" xfId="1" applyNumberFormat="1" applyFont="1" applyBorder="1"/>
    <xf numFmtId="168" fontId="2" fillId="0" borderId="31" xfId="2" applyNumberFormat="1" applyFont="1" applyBorder="1"/>
    <xf numFmtId="0" fontId="2" fillId="0" borderId="32" xfId="0" applyFont="1" applyBorder="1"/>
    <xf numFmtId="0" fontId="2" fillId="0" borderId="31" xfId="0" applyFont="1" applyBorder="1"/>
    <xf numFmtId="168" fontId="2" fillId="0" borderId="0" xfId="2" applyNumberFormat="1" applyFont="1" applyBorder="1"/>
    <xf numFmtId="43" fontId="3" fillId="0" borderId="0" xfId="0" applyNumberFormat="1" applyFont="1" applyBorder="1"/>
    <xf numFmtId="164" fontId="3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35" xfId="1" applyNumberFormat="1" applyFont="1" applyBorder="1"/>
    <xf numFmtId="0" fontId="2" fillId="0" borderId="35" xfId="0" applyFont="1" applyBorder="1"/>
    <xf numFmtId="0" fontId="5" fillId="0" borderId="0" xfId="0" applyFont="1" applyBorder="1"/>
    <xf numFmtId="0" fontId="6" fillId="0" borderId="0" xfId="0" applyFont="1"/>
    <xf numFmtId="164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7" fillId="0" borderId="0" xfId="0" applyFont="1"/>
    <xf numFmtId="0" fontId="6" fillId="0" borderId="36" xfId="0" applyFont="1" applyBorder="1"/>
    <xf numFmtId="0" fontId="6" fillId="0" borderId="36" xfId="0" applyFont="1" applyBorder="1" applyAlignment="1">
      <alignment horizontal="center"/>
    </xf>
    <xf numFmtId="0" fontId="6" fillId="0" borderId="37" xfId="0" applyFont="1" applyBorder="1"/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10" fontId="6" fillId="0" borderId="28" xfId="0" applyNumberFormat="1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7" fillId="0" borderId="43" xfId="0" applyFont="1" applyBorder="1"/>
    <xf numFmtId="165" fontId="7" fillId="0" borderId="26" xfId="1" applyNumberFormat="1" applyFont="1" applyBorder="1"/>
    <xf numFmtId="165" fontId="7" fillId="0" borderId="26" xfId="0" applyNumberFormat="1" applyFont="1" applyBorder="1"/>
    <xf numFmtId="165" fontId="7" fillId="0" borderId="44" xfId="0" applyNumberFormat="1" applyFont="1" applyBorder="1"/>
    <xf numFmtId="164" fontId="7" fillId="0" borderId="0" xfId="0" applyNumberFormat="1" applyFont="1"/>
    <xf numFmtId="0" fontId="7" fillId="0" borderId="0" xfId="0" applyFont="1" applyBorder="1"/>
    <xf numFmtId="0" fontId="7" fillId="0" borderId="45" xfId="0" applyFont="1" applyBorder="1"/>
    <xf numFmtId="165" fontId="7" fillId="0" borderId="46" xfId="0" applyNumberFormat="1" applyFont="1" applyBorder="1"/>
    <xf numFmtId="0" fontId="6" fillId="0" borderId="47" xfId="0" applyFont="1" applyBorder="1"/>
    <xf numFmtId="165" fontId="6" fillId="0" borderId="48" xfId="0" applyNumberFormat="1" applyFont="1" applyBorder="1"/>
    <xf numFmtId="165" fontId="6" fillId="0" borderId="49" xfId="0" applyNumberFormat="1" applyFont="1" applyBorder="1"/>
    <xf numFmtId="165" fontId="7" fillId="0" borderId="0" xfId="0" applyNumberFormat="1" applyFont="1" applyBorder="1"/>
    <xf numFmtId="0" fontId="6" fillId="0" borderId="0" xfId="0" applyFont="1" applyBorder="1"/>
    <xf numFmtId="4" fontId="6" fillId="0" borderId="0" xfId="0" applyNumberFormat="1" applyFont="1" applyBorder="1"/>
    <xf numFmtId="4" fontId="8" fillId="0" borderId="0" xfId="0" applyNumberFormat="1" applyFont="1" applyBorder="1"/>
    <xf numFmtId="4" fontId="7" fillId="0" borderId="0" xfId="0" applyNumberFormat="1" applyFont="1" applyBorder="1" applyAlignment="1"/>
    <xf numFmtId="4" fontId="7" fillId="0" borderId="0" xfId="0" applyNumberFormat="1" applyFont="1" applyBorder="1"/>
    <xf numFmtId="4" fontId="7" fillId="0" borderId="0" xfId="0" applyNumberFormat="1" applyFont="1" applyBorder="1" applyAlignment="1">
      <alignment horizontal="right"/>
    </xf>
    <xf numFmtId="4" fontId="6" fillId="0" borderId="0" xfId="0" applyNumberFormat="1" applyFont="1"/>
    <xf numFmtId="14" fontId="7" fillId="0" borderId="0" xfId="0" applyNumberFormat="1" applyFont="1" applyBorder="1"/>
    <xf numFmtId="164" fontId="2" fillId="0" borderId="0" xfId="1" applyNumberFormat="1" applyFont="1" applyBorder="1"/>
    <xf numFmtId="0" fontId="7" fillId="0" borderId="31" xfId="0" applyFont="1" applyBorder="1"/>
    <xf numFmtId="164" fontId="3" fillId="0" borderId="0" xfId="1" applyNumberFormat="1" applyFont="1"/>
    <xf numFmtId="4" fontId="8" fillId="0" borderId="0" xfId="0" applyNumberFormat="1" applyFont="1" applyBorder="1" applyAlignment="1">
      <alignment horizontal="center"/>
    </xf>
    <xf numFmtId="4" fontId="7" fillId="0" borderId="0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"/>
  <sheetViews>
    <sheetView tabSelected="1" view="pageBreakPreview" topLeftCell="A49" zoomScale="60" zoomScaleNormal="100" workbookViewId="0">
      <selection activeCell="D9" sqref="D9"/>
    </sheetView>
  </sheetViews>
  <sheetFormatPr baseColWidth="10" defaultRowHeight="12.75"/>
  <cols>
    <col min="1" max="1" width="33" style="2" customWidth="1"/>
    <col min="2" max="2" width="23.5703125" style="110" customWidth="1"/>
    <col min="3" max="3" width="6.7109375" style="2" customWidth="1"/>
    <col min="4" max="4" width="5.28515625" style="2" customWidth="1"/>
    <col min="5" max="5" width="11.42578125" style="2"/>
    <col min="6" max="6" width="22.28515625" style="2" customWidth="1"/>
    <col min="7" max="7" width="21.85546875" style="2" customWidth="1"/>
    <col min="8" max="12" width="11.42578125" style="1"/>
    <col min="13" max="16384" width="11.42578125" style="2"/>
  </cols>
  <sheetData>
    <row r="1" spans="1:8">
      <c r="A1" s="123" t="s">
        <v>0</v>
      </c>
      <c r="B1" s="123"/>
      <c r="C1" s="123"/>
      <c r="D1" s="123"/>
      <c r="E1" s="123"/>
      <c r="F1" s="123"/>
      <c r="G1" s="123"/>
    </row>
    <row r="2" spans="1:8">
      <c r="A2" s="123" t="s">
        <v>1</v>
      </c>
      <c r="B2" s="123"/>
      <c r="C2" s="123"/>
      <c r="D2" s="123"/>
      <c r="E2" s="123"/>
      <c r="F2" s="123"/>
      <c r="G2" s="123"/>
    </row>
    <row r="3" spans="1:8">
      <c r="A3" s="123" t="s">
        <v>2</v>
      </c>
      <c r="B3" s="123"/>
      <c r="C3" s="123"/>
      <c r="D3" s="123"/>
      <c r="E3" s="123"/>
      <c r="F3" s="123"/>
      <c r="G3" s="123"/>
    </row>
    <row r="4" spans="1:8">
      <c r="A4" s="3"/>
      <c r="B4" s="4"/>
      <c r="C4" s="3"/>
      <c r="D4" s="3"/>
      <c r="E4" s="3"/>
      <c r="F4" s="3"/>
      <c r="G4" s="5"/>
    </row>
    <row r="5" spans="1:8" ht="15.75">
      <c r="A5" s="3" t="s">
        <v>3</v>
      </c>
      <c r="B5" s="6" t="s">
        <v>4</v>
      </c>
      <c r="C5" s="7"/>
      <c r="D5" s="3"/>
      <c r="E5" s="3"/>
      <c r="F5" s="3" t="s">
        <v>5</v>
      </c>
      <c r="G5" s="8">
        <v>39573</v>
      </c>
    </row>
    <row r="6" spans="1:8">
      <c r="A6" s="3" t="s">
        <v>6</v>
      </c>
      <c r="B6" s="9" t="s">
        <v>7</v>
      </c>
      <c r="C6" s="3"/>
      <c r="D6" s="3"/>
      <c r="E6" s="3"/>
      <c r="F6" s="3" t="s">
        <v>8</v>
      </c>
      <c r="G6" s="8" t="s">
        <v>9</v>
      </c>
    </row>
    <row r="7" spans="1:8">
      <c r="A7" s="3" t="s">
        <v>10</v>
      </c>
      <c r="B7" s="9" t="s">
        <v>11</v>
      </c>
      <c r="C7" s="3"/>
      <c r="D7" s="3"/>
      <c r="E7" s="3"/>
      <c r="F7" s="3" t="s">
        <v>12</v>
      </c>
      <c r="G7" s="10" t="s">
        <v>13</v>
      </c>
    </row>
    <row r="8" spans="1:8">
      <c r="A8" s="3" t="s">
        <v>14</v>
      </c>
      <c r="B8" s="4" t="s">
        <v>15</v>
      </c>
      <c r="C8" s="3"/>
      <c r="D8" s="3"/>
      <c r="E8" s="3"/>
      <c r="F8" s="3" t="s">
        <v>16</v>
      </c>
      <c r="G8" s="11">
        <v>1100</v>
      </c>
      <c r="H8" s="12"/>
    </row>
    <row r="9" spans="1:8">
      <c r="A9" s="3" t="s">
        <v>17</v>
      </c>
      <c r="B9" s="13"/>
      <c r="C9" s="3"/>
      <c r="D9" s="3"/>
      <c r="E9" s="3"/>
      <c r="F9" s="3" t="s">
        <v>18</v>
      </c>
      <c r="G9" s="14">
        <f>G8/208</f>
        <v>5.2884615384615383</v>
      </c>
    </row>
    <row r="10" spans="1:8">
      <c r="A10" s="3" t="s">
        <v>19</v>
      </c>
      <c r="B10" s="9"/>
      <c r="C10" s="3"/>
      <c r="D10" s="3"/>
      <c r="E10" s="3"/>
      <c r="F10" s="3" t="s">
        <v>20</v>
      </c>
      <c r="G10" s="14">
        <f>G9*8</f>
        <v>42.307692307692307</v>
      </c>
      <c r="H10" s="15"/>
    </row>
    <row r="11" spans="1:8" ht="13.5" thickBot="1">
      <c r="A11" s="3"/>
      <c r="B11" s="9"/>
      <c r="C11" s="3"/>
      <c r="D11" s="3"/>
      <c r="E11" s="3"/>
      <c r="F11" s="3"/>
      <c r="G11" s="3"/>
    </row>
    <row r="12" spans="1:8" ht="13.5" thickBot="1">
      <c r="A12" s="134" t="s">
        <v>21</v>
      </c>
      <c r="B12" s="130"/>
      <c r="C12" s="130"/>
      <c r="D12" s="130"/>
      <c r="E12" s="130"/>
      <c r="F12" s="115"/>
      <c r="G12" s="116"/>
    </row>
    <row r="13" spans="1:8" ht="13.5" thickBot="1">
      <c r="A13" s="135" t="s">
        <v>22</v>
      </c>
      <c r="B13" s="136"/>
      <c r="C13" s="16"/>
      <c r="D13" s="17"/>
      <c r="E13" s="18"/>
      <c r="F13" s="135" t="s">
        <v>23</v>
      </c>
      <c r="G13" s="136"/>
    </row>
    <row r="14" spans="1:8">
      <c r="A14" s="19" t="s">
        <v>24</v>
      </c>
      <c r="B14" s="20" t="s">
        <v>25</v>
      </c>
      <c r="C14" s="1"/>
      <c r="D14" s="21"/>
      <c r="E14" s="22"/>
      <c r="F14" s="19" t="s">
        <v>24</v>
      </c>
      <c r="G14" s="20" t="s">
        <v>25</v>
      </c>
    </row>
    <row r="15" spans="1:8" s="1" customFormat="1">
      <c r="A15" s="23" t="s">
        <v>26</v>
      </c>
      <c r="B15" s="24"/>
      <c r="D15" s="21"/>
      <c r="E15" s="22"/>
      <c r="F15" s="23" t="s">
        <v>26</v>
      </c>
      <c r="G15" s="24"/>
    </row>
    <row r="16" spans="1:8">
      <c r="A16" s="23" t="s">
        <v>27</v>
      </c>
      <c r="B16" s="24"/>
      <c r="C16" s="1"/>
      <c r="D16" s="21"/>
      <c r="E16" s="22"/>
      <c r="F16" s="23" t="s">
        <v>27</v>
      </c>
      <c r="G16" s="24"/>
    </row>
    <row r="17" spans="1:12">
      <c r="A17" s="23" t="s">
        <v>28</v>
      </c>
      <c r="B17" s="24"/>
      <c r="C17" s="1"/>
      <c r="D17" s="21"/>
      <c r="E17" s="22"/>
      <c r="F17" s="23" t="s">
        <v>28</v>
      </c>
      <c r="G17" s="24"/>
    </row>
    <row r="18" spans="1:12">
      <c r="A18" s="23" t="s">
        <v>29</v>
      </c>
      <c r="B18" s="24"/>
      <c r="C18" s="1"/>
      <c r="D18" s="21"/>
      <c r="E18" s="22"/>
      <c r="F18" s="23" t="s">
        <v>29</v>
      </c>
      <c r="G18" s="24"/>
    </row>
    <row r="19" spans="1:12">
      <c r="A19" s="23" t="s">
        <v>30</v>
      </c>
      <c r="B19" s="24">
        <v>619.6</v>
      </c>
      <c r="C19" s="1"/>
      <c r="D19" s="21"/>
      <c r="E19" s="22"/>
      <c r="F19" s="23" t="s">
        <v>30</v>
      </c>
      <c r="G19" s="24"/>
      <c r="J19" s="25"/>
      <c r="K19" s="25"/>
      <c r="L19" s="25"/>
    </row>
    <row r="20" spans="1:12">
      <c r="A20" s="23" t="s">
        <v>31</v>
      </c>
      <c r="B20" s="24">
        <v>673.04</v>
      </c>
      <c r="C20" s="1"/>
      <c r="D20" s="21"/>
      <c r="E20" s="22"/>
      <c r="F20" s="23" t="s">
        <v>31</v>
      </c>
      <c r="G20" s="24"/>
      <c r="J20" s="25"/>
      <c r="K20" s="25"/>
      <c r="L20" s="25"/>
    </row>
    <row r="21" spans="1:12">
      <c r="A21" s="23" t="s">
        <v>32</v>
      </c>
      <c r="B21" s="24">
        <v>700</v>
      </c>
      <c r="C21" s="1"/>
      <c r="D21" s="21"/>
      <c r="E21" s="22"/>
      <c r="F21" s="23" t="s">
        <v>32</v>
      </c>
      <c r="G21" s="24"/>
      <c r="J21" s="25"/>
      <c r="K21" s="25"/>
      <c r="L21" s="25"/>
    </row>
    <row r="22" spans="1:12">
      <c r="A22" s="23" t="s">
        <v>33</v>
      </c>
      <c r="B22" s="24">
        <v>825</v>
      </c>
      <c r="C22" s="1"/>
      <c r="D22" s="21"/>
      <c r="E22" s="22"/>
      <c r="F22" s="23" t="s">
        <v>33</v>
      </c>
      <c r="G22" s="24"/>
      <c r="J22" s="25"/>
      <c r="K22" s="25"/>
      <c r="L22" s="25"/>
    </row>
    <row r="23" spans="1:12">
      <c r="A23" s="23" t="s">
        <v>34</v>
      </c>
      <c r="B23" s="24">
        <v>950</v>
      </c>
      <c r="C23" s="1"/>
      <c r="D23" s="21"/>
      <c r="E23" s="22"/>
      <c r="F23" s="23" t="s">
        <v>34</v>
      </c>
      <c r="G23" s="24"/>
      <c r="J23" s="25"/>
      <c r="K23" s="25"/>
      <c r="L23" s="25"/>
    </row>
    <row r="24" spans="1:12">
      <c r="A24" s="23" t="s">
        <v>35</v>
      </c>
      <c r="B24" s="24">
        <v>875</v>
      </c>
      <c r="C24" s="1"/>
      <c r="D24" s="21"/>
      <c r="E24" s="22"/>
      <c r="F24" s="23" t="s">
        <v>35</v>
      </c>
      <c r="G24" s="24">
        <v>150</v>
      </c>
      <c r="J24" s="25"/>
      <c r="K24" s="25"/>
      <c r="L24" s="25"/>
    </row>
    <row r="25" spans="1:12">
      <c r="A25" s="23" t="s">
        <v>36</v>
      </c>
      <c r="B25" s="24">
        <v>950</v>
      </c>
      <c r="C25" s="1"/>
      <c r="D25" s="21"/>
      <c r="E25" s="22"/>
      <c r="F25" s="23" t="s">
        <v>36</v>
      </c>
      <c r="G25" s="24">
        <v>150</v>
      </c>
      <c r="J25" s="25"/>
      <c r="K25" s="25"/>
      <c r="L25" s="25"/>
    </row>
    <row r="26" spans="1:12">
      <c r="A26" s="26" t="s">
        <v>37</v>
      </c>
      <c r="B26" s="27">
        <v>475</v>
      </c>
      <c r="C26" s="1"/>
      <c r="D26" s="21"/>
      <c r="E26" s="22"/>
      <c r="F26" s="26"/>
      <c r="G26" s="27">
        <v>75</v>
      </c>
      <c r="J26" s="25"/>
      <c r="K26" s="25"/>
      <c r="L26" s="25"/>
    </row>
    <row r="27" spans="1:12">
      <c r="A27" s="28" t="s">
        <v>38</v>
      </c>
      <c r="B27" s="29">
        <f>SUM(B15:B26)</f>
        <v>6067.6399999999994</v>
      </c>
      <c r="C27" s="1"/>
      <c r="D27" s="21"/>
      <c r="E27" s="22"/>
      <c r="F27" s="28" t="s">
        <v>38</v>
      </c>
      <c r="G27" s="29">
        <f>SUM(G15:G26)</f>
        <v>375</v>
      </c>
      <c r="J27" s="25"/>
      <c r="K27" s="25"/>
      <c r="L27" s="25"/>
    </row>
    <row r="28" spans="1:12" ht="13.5" thickBot="1">
      <c r="A28" s="30" t="s">
        <v>39</v>
      </c>
      <c r="B28" s="31">
        <v>0</v>
      </c>
      <c r="C28" s="1"/>
      <c r="D28" s="21"/>
      <c r="E28" s="22"/>
      <c r="F28" s="30" t="s">
        <v>39</v>
      </c>
      <c r="G28" s="31">
        <v>0</v>
      </c>
      <c r="J28" s="25"/>
      <c r="K28" s="25"/>
      <c r="L28" s="25"/>
    </row>
    <row r="29" spans="1:12">
      <c r="A29" s="32" t="s">
        <v>40</v>
      </c>
      <c r="B29" s="29">
        <f>SUM(B27:B28)</f>
        <v>6067.6399999999994</v>
      </c>
      <c r="C29" s="1"/>
      <c r="D29" s="21"/>
      <c r="E29" s="22"/>
      <c r="F29" s="32" t="s">
        <v>40</v>
      </c>
      <c r="G29" s="29">
        <f>SUM(G27:G28)</f>
        <v>375</v>
      </c>
      <c r="J29" s="25"/>
      <c r="K29" s="25"/>
      <c r="L29" s="25"/>
    </row>
    <row r="30" spans="1:12">
      <c r="A30" s="30" t="s">
        <v>41</v>
      </c>
      <c r="B30" s="33"/>
      <c r="C30" s="1"/>
      <c r="D30" s="21"/>
      <c r="E30" s="22"/>
      <c r="F30" s="30" t="s">
        <v>41</v>
      </c>
      <c r="G30" s="33"/>
      <c r="J30" s="25"/>
      <c r="K30" s="25"/>
      <c r="L30" s="25"/>
    </row>
    <row r="31" spans="1:12" ht="13.5" thickBot="1">
      <c r="A31" s="30" t="s">
        <v>42</v>
      </c>
      <c r="B31" s="34">
        <f>+B30+B29</f>
        <v>6067.6399999999994</v>
      </c>
      <c r="C31" s="1"/>
      <c r="D31" s="21"/>
      <c r="E31" s="22"/>
      <c r="F31" s="30" t="s">
        <v>42</v>
      </c>
      <c r="G31" s="34">
        <f>+G30+G29</f>
        <v>375</v>
      </c>
    </row>
    <row r="32" spans="1:12" ht="13.5" thickBot="1">
      <c r="A32" s="35" t="s">
        <v>43</v>
      </c>
      <c r="B32" s="36">
        <f>+B31*9.0909%</f>
        <v>551.60308475999989</v>
      </c>
      <c r="C32" s="37"/>
      <c r="D32" s="38"/>
      <c r="E32" s="39"/>
      <c r="F32" s="35" t="s">
        <v>44</v>
      </c>
      <c r="G32" s="36">
        <f>+G31*9.0909%</f>
        <v>34.090874999999997</v>
      </c>
      <c r="H32" s="40"/>
    </row>
    <row r="33" spans="1:7" s="1" customFormat="1" ht="13.5" thickBot="1">
      <c r="A33" s="30"/>
      <c r="B33" s="41"/>
      <c r="C33" s="42"/>
      <c r="D33" s="42"/>
      <c r="E33" s="42"/>
      <c r="F33" s="42"/>
      <c r="G33" s="43"/>
    </row>
    <row r="34" spans="1:7" s="1" customFormat="1" ht="13.5" thickBot="1">
      <c r="A34" s="114" t="s">
        <v>45</v>
      </c>
      <c r="B34" s="130"/>
      <c r="C34" s="130"/>
      <c r="D34" s="130"/>
      <c r="E34" s="130"/>
      <c r="F34" s="130"/>
      <c r="G34" s="131"/>
    </row>
    <row r="35" spans="1:7" s="1" customFormat="1">
      <c r="A35" s="132" t="s">
        <v>46</v>
      </c>
      <c r="B35" s="133"/>
      <c r="D35" s="21"/>
      <c r="F35" s="132" t="s">
        <v>47</v>
      </c>
      <c r="G35" s="133"/>
    </row>
    <row r="36" spans="1:7" s="1" customFormat="1">
      <c r="A36" s="44" t="s">
        <v>24</v>
      </c>
      <c r="B36" s="45" t="s">
        <v>25</v>
      </c>
      <c r="D36" s="21"/>
      <c r="F36" s="44" t="s">
        <v>24</v>
      </c>
      <c r="G36" s="45" t="s">
        <v>25</v>
      </c>
    </row>
    <row r="37" spans="1:7" s="1" customFormat="1">
      <c r="A37" s="23" t="s">
        <v>48</v>
      </c>
      <c r="B37" s="24">
        <v>0</v>
      </c>
      <c r="D37" s="21"/>
      <c r="F37" s="23" t="s">
        <v>48</v>
      </c>
      <c r="G37" s="24">
        <v>0</v>
      </c>
    </row>
    <row r="38" spans="1:7" s="1" customFormat="1">
      <c r="A38" s="23" t="s">
        <v>34</v>
      </c>
      <c r="B38" s="24">
        <v>0</v>
      </c>
      <c r="D38" s="21"/>
      <c r="F38" s="23" t="s">
        <v>34</v>
      </c>
      <c r="G38" s="24">
        <v>0</v>
      </c>
    </row>
    <row r="39" spans="1:7" s="1" customFormat="1">
      <c r="A39" s="23" t="s">
        <v>35</v>
      </c>
      <c r="B39" s="24">
        <v>0</v>
      </c>
      <c r="D39" s="21"/>
      <c r="F39" s="23" t="s">
        <v>35</v>
      </c>
      <c r="G39" s="24">
        <v>0</v>
      </c>
    </row>
    <row r="40" spans="1:7" s="1" customFormat="1">
      <c r="A40" s="23" t="s">
        <v>36</v>
      </c>
      <c r="B40" s="24">
        <v>0</v>
      </c>
      <c r="D40" s="21"/>
      <c r="F40" s="23" t="s">
        <v>36</v>
      </c>
      <c r="G40" s="24">
        <v>0</v>
      </c>
    </row>
    <row r="41" spans="1:7" s="1" customFormat="1">
      <c r="A41" s="46" t="s">
        <v>49</v>
      </c>
      <c r="B41" s="47">
        <f>SUM(B37:B40)</f>
        <v>0</v>
      </c>
      <c r="D41" s="21"/>
      <c r="F41" s="46" t="s">
        <v>49</v>
      </c>
      <c r="G41" s="47">
        <f>SUM(G37:G40)</f>
        <v>0</v>
      </c>
    </row>
    <row r="42" spans="1:7" s="1" customFormat="1" ht="13.5" thickBot="1">
      <c r="A42" s="48" t="s">
        <v>50</v>
      </c>
      <c r="B42" s="49">
        <f>+B32</f>
        <v>551.60308475999989</v>
      </c>
      <c r="D42" s="21"/>
      <c r="F42" s="48" t="s">
        <v>50</v>
      </c>
      <c r="G42" s="49">
        <f>G32</f>
        <v>34.090874999999997</v>
      </c>
    </row>
    <row r="43" spans="1:7" s="1" customFormat="1">
      <c r="A43" s="48" t="s">
        <v>40</v>
      </c>
      <c r="B43" s="47">
        <f>+B42+B41</f>
        <v>551.60308475999989</v>
      </c>
      <c r="D43" s="21"/>
      <c r="F43" s="48" t="s">
        <v>40</v>
      </c>
      <c r="G43" s="47">
        <f>SUM(G41:G42)</f>
        <v>34.090874999999997</v>
      </c>
    </row>
    <row r="44" spans="1:7" s="1" customFormat="1">
      <c r="A44" s="48" t="s">
        <v>41</v>
      </c>
      <c r="B44" s="50"/>
      <c r="D44" s="21"/>
      <c r="F44" s="48" t="s">
        <v>41</v>
      </c>
      <c r="G44" s="50"/>
    </row>
    <row r="45" spans="1:7" s="1" customFormat="1" ht="13.5" thickBot="1">
      <c r="A45" s="30" t="s">
        <v>51</v>
      </c>
      <c r="B45" s="51"/>
      <c r="D45" s="21"/>
      <c r="F45" s="30" t="s">
        <v>51</v>
      </c>
      <c r="G45" s="51"/>
    </row>
    <row r="46" spans="1:7" s="1" customFormat="1" ht="13.5" thickBot="1">
      <c r="A46" s="32" t="s">
        <v>52</v>
      </c>
      <c r="B46" s="52">
        <f>+B43*8.3333%</f>
        <v>45.966739862305069</v>
      </c>
      <c r="C46" s="42"/>
      <c r="D46" s="53"/>
      <c r="E46" s="54"/>
      <c r="F46" s="32" t="s">
        <v>52</v>
      </c>
      <c r="G46" s="52">
        <f>+G43*8.333%</f>
        <v>2.8407926137499997</v>
      </c>
    </row>
    <row r="47" spans="1:7" s="1" customFormat="1" ht="13.5" thickBot="1">
      <c r="A47" s="55"/>
      <c r="B47" s="56"/>
      <c r="C47" s="57"/>
      <c r="D47" s="58"/>
      <c r="E47" s="57"/>
      <c r="F47" s="59"/>
      <c r="G47" s="60"/>
    </row>
    <row r="48" spans="1:7" s="1" customFormat="1" ht="13.5" thickBot="1">
      <c r="A48" s="30"/>
      <c r="B48" s="41"/>
      <c r="G48" s="61"/>
    </row>
    <row r="49" spans="1:7" s="1" customFormat="1">
      <c r="A49" s="114" t="s">
        <v>53</v>
      </c>
      <c r="B49" s="115"/>
      <c r="C49" s="115"/>
      <c r="D49" s="115"/>
      <c r="E49" s="115"/>
      <c r="F49" s="115"/>
      <c r="G49" s="116"/>
    </row>
    <row r="50" spans="1:7" s="1" customFormat="1" ht="13.5" thickBot="1">
      <c r="A50" s="117"/>
      <c r="B50" s="118"/>
      <c r="C50" s="119"/>
      <c r="D50" s="119"/>
      <c r="E50" s="119"/>
      <c r="F50" s="119"/>
      <c r="G50" s="120"/>
    </row>
    <row r="51" spans="1:7" s="1" customFormat="1" ht="13.5" thickBot="1">
      <c r="A51" s="121" t="s">
        <v>53</v>
      </c>
      <c r="B51" s="122"/>
      <c r="D51" s="21"/>
      <c r="F51" s="121" t="s">
        <v>54</v>
      </c>
      <c r="G51" s="122"/>
    </row>
    <row r="52" spans="1:7" s="1" customFormat="1" ht="13.5" thickBot="1">
      <c r="A52" s="62" t="s">
        <v>24</v>
      </c>
      <c r="B52" s="63" t="s">
        <v>25</v>
      </c>
      <c r="D52" s="21"/>
      <c r="F52" s="62" t="s">
        <v>24</v>
      </c>
      <c r="G52" s="63" t="s">
        <v>25</v>
      </c>
    </row>
    <row r="53" spans="1:7" s="1" customFormat="1">
      <c r="A53" s="23" t="s">
        <v>26</v>
      </c>
      <c r="B53" s="24">
        <f>+B15</f>
        <v>0</v>
      </c>
      <c r="D53" s="21"/>
      <c r="F53" s="23" t="s">
        <v>26</v>
      </c>
      <c r="G53" s="24">
        <f>+G15</f>
        <v>0</v>
      </c>
    </row>
    <row r="54" spans="1:7" s="1" customFormat="1">
      <c r="A54" s="23" t="s">
        <v>27</v>
      </c>
      <c r="B54" s="24">
        <f t="shared" ref="B54:B63" si="0">+B16</f>
        <v>0</v>
      </c>
      <c r="D54" s="21"/>
      <c r="F54" s="23" t="s">
        <v>55</v>
      </c>
      <c r="G54" s="24">
        <f t="shared" ref="G54:G63" si="1">+G16</f>
        <v>0</v>
      </c>
    </row>
    <row r="55" spans="1:7" s="1" customFormat="1">
      <c r="A55" s="23" t="s">
        <v>28</v>
      </c>
      <c r="B55" s="24">
        <f t="shared" si="0"/>
        <v>0</v>
      </c>
      <c r="D55" s="21"/>
      <c r="F55" s="23" t="s">
        <v>56</v>
      </c>
      <c r="G55" s="24">
        <f t="shared" si="1"/>
        <v>0</v>
      </c>
    </row>
    <row r="56" spans="1:7" s="1" customFormat="1">
      <c r="A56" s="23" t="s">
        <v>29</v>
      </c>
      <c r="B56" s="24">
        <f t="shared" si="0"/>
        <v>0</v>
      </c>
      <c r="D56" s="21"/>
      <c r="F56" s="23" t="s">
        <v>29</v>
      </c>
      <c r="G56" s="24">
        <f t="shared" si="1"/>
        <v>0</v>
      </c>
    </row>
    <row r="57" spans="1:7" s="1" customFormat="1">
      <c r="A57" s="23" t="s">
        <v>30</v>
      </c>
      <c r="B57" s="24">
        <f t="shared" si="0"/>
        <v>619.6</v>
      </c>
      <c r="D57" s="21"/>
      <c r="F57" s="23" t="s">
        <v>30</v>
      </c>
      <c r="G57" s="24">
        <f t="shared" si="1"/>
        <v>0</v>
      </c>
    </row>
    <row r="58" spans="1:7" s="1" customFormat="1">
      <c r="A58" s="23" t="s">
        <v>31</v>
      </c>
      <c r="B58" s="24">
        <f t="shared" si="0"/>
        <v>673.04</v>
      </c>
      <c r="D58" s="21"/>
      <c r="F58" s="23" t="s">
        <v>31</v>
      </c>
      <c r="G58" s="24">
        <f t="shared" si="1"/>
        <v>0</v>
      </c>
    </row>
    <row r="59" spans="1:7" s="1" customFormat="1">
      <c r="A59" s="23" t="s">
        <v>32</v>
      </c>
      <c r="B59" s="24">
        <f t="shared" si="0"/>
        <v>700</v>
      </c>
      <c r="D59" s="21"/>
      <c r="F59" s="23" t="s">
        <v>32</v>
      </c>
      <c r="G59" s="24">
        <f t="shared" si="1"/>
        <v>0</v>
      </c>
    </row>
    <row r="60" spans="1:7" s="1" customFormat="1">
      <c r="A60" s="23" t="s">
        <v>33</v>
      </c>
      <c r="B60" s="24">
        <f t="shared" si="0"/>
        <v>825</v>
      </c>
      <c r="D60" s="21"/>
      <c r="F60" s="23" t="s">
        <v>33</v>
      </c>
      <c r="G60" s="24">
        <f t="shared" si="1"/>
        <v>0</v>
      </c>
    </row>
    <row r="61" spans="1:7" s="1" customFormat="1">
      <c r="A61" s="23" t="s">
        <v>34</v>
      </c>
      <c r="B61" s="24">
        <f t="shared" si="0"/>
        <v>950</v>
      </c>
      <c r="D61" s="21"/>
      <c r="F61" s="23" t="s">
        <v>34</v>
      </c>
      <c r="G61" s="24">
        <f t="shared" si="1"/>
        <v>0</v>
      </c>
    </row>
    <row r="62" spans="1:7" s="1" customFormat="1">
      <c r="A62" s="23" t="s">
        <v>35</v>
      </c>
      <c r="B62" s="24">
        <f t="shared" si="0"/>
        <v>875</v>
      </c>
      <c r="D62" s="21"/>
      <c r="F62" s="23" t="s">
        <v>35</v>
      </c>
      <c r="G62" s="24">
        <f t="shared" si="1"/>
        <v>150</v>
      </c>
    </row>
    <row r="63" spans="1:7" s="1" customFormat="1">
      <c r="A63" s="23" t="s">
        <v>36</v>
      </c>
      <c r="B63" s="24">
        <f t="shared" si="0"/>
        <v>950</v>
      </c>
      <c r="D63" s="21"/>
      <c r="F63" s="23" t="s">
        <v>36</v>
      </c>
      <c r="G63" s="24">
        <f t="shared" si="1"/>
        <v>150</v>
      </c>
    </row>
    <row r="64" spans="1:7" s="1" customFormat="1">
      <c r="A64" s="23" t="s">
        <v>57</v>
      </c>
      <c r="B64" s="24">
        <f>+B32</f>
        <v>551.60308475999989</v>
      </c>
      <c r="D64" s="21"/>
      <c r="F64" s="23" t="s">
        <v>58</v>
      </c>
      <c r="G64" s="24">
        <f>+G32</f>
        <v>34.090874999999997</v>
      </c>
    </row>
    <row r="65" spans="1:7" s="1" customFormat="1">
      <c r="A65" s="46" t="s">
        <v>38</v>
      </c>
      <c r="B65" s="51">
        <f>SUM(B52:B64)</f>
        <v>6144.243084759999</v>
      </c>
      <c r="D65" s="21"/>
      <c r="F65" s="46" t="s">
        <v>38</v>
      </c>
      <c r="G65" s="51">
        <f>SUM(G53:G64)</f>
        <v>334.09087499999998</v>
      </c>
    </row>
    <row r="66" spans="1:7" s="1" customFormat="1">
      <c r="A66" s="46" t="s">
        <v>59</v>
      </c>
      <c r="B66" s="51"/>
      <c r="D66" s="21"/>
      <c r="F66" s="46" t="s">
        <v>59</v>
      </c>
      <c r="G66" s="51"/>
    </row>
    <row r="67" spans="1:7" s="1" customFormat="1">
      <c r="A67" s="46" t="s">
        <v>40</v>
      </c>
      <c r="B67" s="51"/>
      <c r="D67" s="21"/>
      <c r="F67" s="46" t="s">
        <v>40</v>
      </c>
      <c r="G67" s="51"/>
    </row>
    <row r="68" spans="1:7" s="1" customFormat="1">
      <c r="A68" s="64" t="s">
        <v>60</v>
      </c>
      <c r="B68" s="65">
        <f>+B65*1.923%</f>
        <v>118.15379451993478</v>
      </c>
      <c r="D68" s="21"/>
      <c r="F68" s="64" t="s">
        <v>61</v>
      </c>
      <c r="G68" s="65">
        <f>+G65*1.923%</f>
        <v>6.4245675262499997</v>
      </c>
    </row>
    <row r="69" spans="1:7" s="1" customFormat="1">
      <c r="A69" s="64"/>
      <c r="B69" s="51"/>
      <c r="D69" s="21"/>
      <c r="F69" s="64"/>
      <c r="G69" s="51"/>
    </row>
    <row r="70" spans="1:7" s="1" customFormat="1" ht="13.5" thickBot="1">
      <c r="A70" s="55"/>
      <c r="B70" s="51"/>
      <c r="C70" s="66"/>
      <c r="D70" s="67"/>
      <c r="E70" s="68"/>
      <c r="F70" s="55"/>
      <c r="G70" s="51"/>
    </row>
    <row r="71" spans="1:7" s="1" customFormat="1" ht="13.5" thickBot="1">
      <c r="B71" s="41"/>
      <c r="C71" s="69"/>
      <c r="D71" s="42"/>
      <c r="E71" s="42"/>
      <c r="G71" s="41"/>
    </row>
    <row r="72" spans="1:7" s="1" customFormat="1">
      <c r="A72" s="114" t="s">
        <v>62</v>
      </c>
      <c r="B72" s="115"/>
      <c r="C72" s="115"/>
      <c r="D72" s="115"/>
      <c r="E72" s="115"/>
      <c r="F72" s="115"/>
      <c r="G72" s="116"/>
    </row>
    <row r="73" spans="1:7" s="1" customFormat="1" ht="13.5" thickBot="1">
      <c r="A73" s="117"/>
      <c r="B73" s="118"/>
      <c r="C73" s="119"/>
      <c r="D73" s="119"/>
      <c r="E73" s="119"/>
      <c r="F73" s="119"/>
      <c r="G73" s="120"/>
    </row>
    <row r="74" spans="1:7" s="1" customFormat="1" ht="13.5" thickBot="1">
      <c r="A74" s="121" t="s">
        <v>63</v>
      </c>
      <c r="B74" s="122"/>
      <c r="D74" s="21"/>
      <c r="F74" s="121" t="s">
        <v>64</v>
      </c>
      <c r="G74" s="122"/>
    </row>
    <row r="75" spans="1:7" s="1" customFormat="1" ht="13.5" thickBot="1">
      <c r="A75" s="62" t="s">
        <v>24</v>
      </c>
      <c r="B75" s="63" t="s">
        <v>25</v>
      </c>
      <c r="D75" s="21"/>
      <c r="F75" s="62" t="s">
        <v>24</v>
      </c>
      <c r="G75" s="63" t="s">
        <v>25</v>
      </c>
    </row>
    <row r="76" spans="1:7" s="1" customFormat="1">
      <c r="A76" s="23" t="s">
        <v>26</v>
      </c>
      <c r="B76" s="24">
        <f>+B53</f>
        <v>0</v>
      </c>
      <c r="D76" s="21"/>
      <c r="F76" s="23" t="s">
        <v>26</v>
      </c>
      <c r="G76" s="24">
        <f>+G53</f>
        <v>0</v>
      </c>
    </row>
    <row r="77" spans="1:7" s="1" customFormat="1">
      <c r="A77" s="23" t="s">
        <v>27</v>
      </c>
      <c r="B77" s="24">
        <f t="shared" ref="B77:B86" si="2">+B54</f>
        <v>0</v>
      </c>
      <c r="D77" s="21"/>
      <c r="F77" s="23" t="s">
        <v>55</v>
      </c>
      <c r="G77" s="24">
        <f t="shared" ref="G77:G86" si="3">+G54</f>
        <v>0</v>
      </c>
    </row>
    <row r="78" spans="1:7" s="1" customFormat="1">
      <c r="A78" s="23" t="s">
        <v>28</v>
      </c>
      <c r="B78" s="24">
        <f t="shared" si="2"/>
        <v>0</v>
      </c>
      <c r="D78" s="21"/>
      <c r="F78" s="23" t="s">
        <v>56</v>
      </c>
      <c r="G78" s="24">
        <f t="shared" si="3"/>
        <v>0</v>
      </c>
    </row>
    <row r="79" spans="1:7" s="1" customFormat="1">
      <c r="A79" s="23" t="s">
        <v>29</v>
      </c>
      <c r="B79" s="24">
        <f t="shared" si="2"/>
        <v>0</v>
      </c>
      <c r="D79" s="21"/>
      <c r="F79" s="23" t="s">
        <v>29</v>
      </c>
      <c r="G79" s="24">
        <f t="shared" si="3"/>
        <v>0</v>
      </c>
    </row>
    <row r="80" spans="1:7" s="1" customFormat="1">
      <c r="A80" s="23" t="s">
        <v>30</v>
      </c>
      <c r="B80" s="24">
        <f t="shared" si="2"/>
        <v>619.6</v>
      </c>
      <c r="D80" s="21"/>
      <c r="F80" s="23" t="s">
        <v>30</v>
      </c>
      <c r="G80" s="24">
        <f t="shared" si="3"/>
        <v>0</v>
      </c>
    </row>
    <row r="81" spans="1:9" s="1" customFormat="1">
      <c r="A81" s="23" t="s">
        <v>31</v>
      </c>
      <c r="B81" s="24">
        <f t="shared" si="2"/>
        <v>673.04</v>
      </c>
      <c r="D81" s="21"/>
      <c r="F81" s="23" t="s">
        <v>31</v>
      </c>
      <c r="G81" s="24">
        <f t="shared" si="3"/>
        <v>0</v>
      </c>
    </row>
    <row r="82" spans="1:9" s="1" customFormat="1">
      <c r="A82" s="23" t="s">
        <v>32</v>
      </c>
      <c r="B82" s="24">
        <f t="shared" si="2"/>
        <v>700</v>
      </c>
      <c r="D82" s="21"/>
      <c r="F82" s="23" t="s">
        <v>32</v>
      </c>
      <c r="G82" s="24">
        <f t="shared" si="3"/>
        <v>0</v>
      </c>
    </row>
    <row r="83" spans="1:9" s="1" customFormat="1">
      <c r="A83" s="23" t="s">
        <v>33</v>
      </c>
      <c r="B83" s="24">
        <f t="shared" si="2"/>
        <v>825</v>
      </c>
      <c r="D83" s="21"/>
      <c r="F83" s="23" t="s">
        <v>33</v>
      </c>
      <c r="G83" s="24">
        <f t="shared" si="3"/>
        <v>0</v>
      </c>
    </row>
    <row r="84" spans="1:9" s="1" customFormat="1">
      <c r="A84" s="23" t="s">
        <v>34</v>
      </c>
      <c r="B84" s="24">
        <f t="shared" si="2"/>
        <v>950</v>
      </c>
      <c r="D84" s="21"/>
      <c r="F84" s="23" t="s">
        <v>34</v>
      </c>
      <c r="G84" s="24">
        <f t="shared" si="3"/>
        <v>0</v>
      </c>
    </row>
    <row r="85" spans="1:9" s="1" customFormat="1">
      <c r="A85" s="23" t="s">
        <v>35</v>
      </c>
      <c r="B85" s="24">
        <f t="shared" si="2"/>
        <v>875</v>
      </c>
      <c r="D85" s="21"/>
      <c r="F85" s="23" t="s">
        <v>35</v>
      </c>
      <c r="G85" s="24">
        <f t="shared" si="3"/>
        <v>150</v>
      </c>
    </row>
    <row r="86" spans="1:9" s="1" customFormat="1">
      <c r="A86" s="23" t="s">
        <v>36</v>
      </c>
      <c r="B86" s="24">
        <f t="shared" si="2"/>
        <v>950</v>
      </c>
      <c r="D86" s="21"/>
      <c r="F86" s="23" t="s">
        <v>36</v>
      </c>
      <c r="G86" s="24">
        <f t="shared" si="3"/>
        <v>150</v>
      </c>
    </row>
    <row r="87" spans="1:9" s="1" customFormat="1">
      <c r="A87" s="46" t="s">
        <v>38</v>
      </c>
      <c r="B87" s="51">
        <f>SUM(B75:B86)</f>
        <v>5592.6399999999994</v>
      </c>
      <c r="D87" s="21"/>
      <c r="F87" s="46" t="s">
        <v>38</v>
      </c>
      <c r="G87" s="51">
        <f>SUM(G75:G86)</f>
        <v>300</v>
      </c>
    </row>
    <row r="88" spans="1:9" s="1" customFormat="1">
      <c r="A88" s="46" t="s">
        <v>59</v>
      </c>
      <c r="B88" s="51"/>
      <c r="D88" s="21"/>
      <c r="F88" s="46" t="s">
        <v>59</v>
      </c>
      <c r="G88" s="51"/>
    </row>
    <row r="89" spans="1:9" s="1" customFormat="1">
      <c r="A89" s="46" t="s">
        <v>40</v>
      </c>
      <c r="B89" s="51"/>
      <c r="D89" s="21"/>
      <c r="F89" s="46" t="s">
        <v>40</v>
      </c>
      <c r="G89" s="51"/>
    </row>
    <row r="90" spans="1:9" s="1" customFormat="1">
      <c r="A90" s="64" t="s">
        <v>65</v>
      </c>
      <c r="B90" s="65">
        <f>+B87*6.54%</f>
        <v>365.75865599999997</v>
      </c>
      <c r="D90" s="21"/>
      <c r="F90" s="64" t="s">
        <v>65</v>
      </c>
      <c r="G90" s="65">
        <f>+G87*6.54%</f>
        <v>19.62</v>
      </c>
    </row>
    <row r="91" spans="1:9" s="1" customFormat="1">
      <c r="A91" s="64"/>
      <c r="B91" s="51"/>
      <c r="D91" s="21"/>
      <c r="F91" s="64"/>
      <c r="G91" s="51"/>
      <c r="I91" s="70"/>
    </row>
    <row r="92" spans="1:9" s="1" customFormat="1" ht="13.5" thickBot="1">
      <c r="A92" s="55"/>
      <c r="B92" s="51"/>
      <c r="C92" s="66"/>
      <c r="D92" s="67"/>
      <c r="E92" s="68"/>
      <c r="F92" s="55"/>
      <c r="G92" s="51"/>
    </row>
    <row r="93" spans="1:9" s="1" customFormat="1">
      <c r="B93" s="41"/>
      <c r="C93" s="69"/>
      <c r="D93" s="42"/>
      <c r="E93" s="42"/>
      <c r="G93" s="41"/>
    </row>
    <row r="94" spans="1:9" s="1" customFormat="1">
      <c r="A94" s="2"/>
      <c r="B94" s="71"/>
      <c r="C94" s="2"/>
      <c r="D94" s="2"/>
      <c r="E94" s="2"/>
      <c r="F94" s="2"/>
      <c r="G94" s="2"/>
    </row>
    <row r="95" spans="1:9" s="1" customFormat="1">
      <c r="A95" s="3"/>
      <c r="B95" s="72"/>
      <c r="C95" s="2"/>
      <c r="D95" s="2"/>
      <c r="E95" s="2"/>
      <c r="F95" s="2"/>
      <c r="G95" s="2"/>
    </row>
    <row r="96" spans="1:9" s="1" customFormat="1">
      <c r="A96" s="3" t="s">
        <v>66</v>
      </c>
      <c r="B96" s="4" t="s">
        <v>67</v>
      </c>
      <c r="C96" s="3"/>
      <c r="D96" s="2"/>
      <c r="E96" s="2"/>
      <c r="F96" s="3" t="s">
        <v>68</v>
      </c>
      <c r="G96" s="2"/>
    </row>
    <row r="97" spans="1:6">
      <c r="A97" s="3" t="s">
        <v>69</v>
      </c>
      <c r="B97" s="73"/>
      <c r="C97" s="74"/>
      <c r="F97" s="3"/>
    </row>
    <row r="98" spans="1:6">
      <c r="A98" s="3"/>
      <c r="B98" s="4"/>
      <c r="C98" s="3"/>
      <c r="F98" s="4"/>
    </row>
    <row r="99" spans="1:6">
      <c r="A99" s="3"/>
      <c r="B99" s="4"/>
      <c r="C99" s="3"/>
      <c r="F99" s="3" t="s">
        <v>70</v>
      </c>
    </row>
    <row r="100" spans="1:6">
      <c r="A100" s="3" t="s">
        <v>71</v>
      </c>
      <c r="B100" s="4" t="s">
        <v>72</v>
      </c>
      <c r="C100" s="3"/>
      <c r="F100" s="4" t="s">
        <v>73</v>
      </c>
    </row>
    <row r="101" spans="1:6">
      <c r="A101" s="3"/>
      <c r="B101" s="4"/>
      <c r="C101" s="3"/>
      <c r="F101" s="4"/>
    </row>
    <row r="102" spans="1:6">
      <c r="A102" s="3"/>
      <c r="B102" s="73"/>
      <c r="C102" s="74"/>
    </row>
    <row r="103" spans="1:6">
      <c r="A103" s="3"/>
      <c r="B103" s="4"/>
      <c r="C103" s="3"/>
      <c r="F103" s="3" t="s">
        <v>68</v>
      </c>
    </row>
    <row r="104" spans="1:6">
      <c r="A104" s="3"/>
      <c r="B104" s="4"/>
      <c r="C104" s="3"/>
      <c r="F104" s="3"/>
    </row>
    <row r="105" spans="1:6">
      <c r="A105" s="3" t="s">
        <v>74</v>
      </c>
      <c r="B105" s="4"/>
      <c r="C105" s="3"/>
      <c r="E105" s="3"/>
      <c r="F105" s="2" t="s">
        <v>75</v>
      </c>
    </row>
    <row r="106" spans="1:6">
      <c r="A106" s="3"/>
      <c r="B106" s="4"/>
      <c r="C106" s="3"/>
      <c r="F106" s="4" t="s">
        <v>76</v>
      </c>
    </row>
    <row r="107" spans="1:6">
      <c r="A107" s="3"/>
      <c r="B107" s="4"/>
      <c r="C107" s="4"/>
      <c r="D107" s="4"/>
    </row>
    <row r="108" spans="1:6">
      <c r="A108" s="3"/>
      <c r="B108" s="4"/>
      <c r="C108" s="3"/>
    </row>
    <row r="109" spans="1:6">
      <c r="A109" s="3"/>
      <c r="B109" s="4"/>
      <c r="C109" s="3"/>
    </row>
    <row r="110" spans="1:6">
      <c r="A110" s="3"/>
      <c r="B110" s="4"/>
      <c r="C110" s="3"/>
    </row>
    <row r="111" spans="1:6">
      <c r="A111" s="3"/>
      <c r="B111" s="4"/>
      <c r="C111" s="3"/>
      <c r="F111" s="3"/>
    </row>
    <row r="112" spans="1:6">
      <c r="A112" s="3"/>
      <c r="B112" s="4"/>
      <c r="C112" s="3"/>
      <c r="F112" s="3"/>
    </row>
    <row r="113" spans="1:7" s="1" customFormat="1">
      <c r="A113" s="3"/>
      <c r="B113" s="4"/>
      <c r="C113" s="3"/>
      <c r="D113" s="2"/>
      <c r="E113" s="2"/>
      <c r="F113" s="3"/>
      <c r="G113" s="2"/>
    </row>
    <row r="114" spans="1:7" s="1" customFormat="1">
      <c r="A114" s="3"/>
      <c r="B114" s="4"/>
      <c r="C114" s="3"/>
      <c r="D114" s="2"/>
      <c r="E114" s="2"/>
      <c r="F114" s="3"/>
      <c r="G114" s="2"/>
    </row>
    <row r="115" spans="1:7" s="1" customFormat="1">
      <c r="A115" s="3"/>
      <c r="B115" s="4"/>
      <c r="C115" s="3"/>
      <c r="D115" s="2"/>
      <c r="E115" s="2"/>
      <c r="F115" s="3"/>
      <c r="G115" s="2"/>
    </row>
    <row r="116" spans="1:7" s="1" customFormat="1">
      <c r="A116" s="123" t="str">
        <f>+A3</f>
        <v>DEL 5 DE MAYO DE 2008   HASTA  EL 15  DE DICIEMBRE  DEL  2008</v>
      </c>
      <c r="B116" s="123"/>
      <c r="C116" s="123"/>
      <c r="D116" s="123"/>
      <c r="E116" s="123"/>
      <c r="F116" s="123"/>
      <c r="G116" s="123"/>
    </row>
    <row r="117" spans="1:7" s="1" customFormat="1" ht="15.75">
      <c r="A117" s="6" t="str">
        <f>+B5</f>
        <v>NESTOR MOLINA</v>
      </c>
      <c r="B117" s="3"/>
      <c r="C117" s="75"/>
      <c r="D117" s="3"/>
      <c r="E117" s="75"/>
      <c r="F117" s="3"/>
      <c r="G117" s="76"/>
    </row>
    <row r="118" spans="1:7" s="1" customFormat="1">
      <c r="A118" s="77" t="str">
        <f>+B6</f>
        <v>3-717-716</v>
      </c>
      <c r="B118" s="78"/>
      <c r="C118" s="78"/>
      <c r="D118" s="78"/>
      <c r="E118" s="78"/>
      <c r="F118" s="78"/>
      <c r="G118" s="76"/>
    </row>
    <row r="119" spans="1:7" s="1" customFormat="1" ht="13.5" thickBot="1">
      <c r="A119" s="78"/>
      <c r="B119" s="78"/>
      <c r="C119" s="78"/>
      <c r="D119" s="78"/>
      <c r="E119" s="78"/>
      <c r="F119" s="78"/>
      <c r="G119" s="79"/>
    </row>
    <row r="120" spans="1:7" s="1" customFormat="1">
      <c r="A120" s="124" t="s">
        <v>77</v>
      </c>
      <c r="B120" s="127" t="s">
        <v>78</v>
      </c>
      <c r="C120" s="80"/>
      <c r="D120" s="81" t="s">
        <v>79</v>
      </c>
      <c r="E120" s="81" t="s">
        <v>79</v>
      </c>
      <c r="F120" s="82"/>
      <c r="G120" s="79"/>
    </row>
    <row r="121" spans="1:7" s="1" customFormat="1">
      <c r="A121" s="125"/>
      <c r="B121" s="128"/>
      <c r="C121" s="83" t="s">
        <v>80</v>
      </c>
      <c r="D121" s="83" t="s">
        <v>81</v>
      </c>
      <c r="E121" s="83" t="s">
        <v>82</v>
      </c>
      <c r="F121" s="84" t="s">
        <v>83</v>
      </c>
      <c r="G121" s="79"/>
    </row>
    <row r="122" spans="1:7" s="1" customFormat="1">
      <c r="A122" s="126"/>
      <c r="B122" s="129"/>
      <c r="C122" s="85"/>
      <c r="D122" s="86">
        <v>0.08</v>
      </c>
      <c r="E122" s="86">
        <v>1.2500000000000001E-2</v>
      </c>
      <c r="F122" s="87" t="s">
        <v>84</v>
      </c>
      <c r="G122" s="79"/>
    </row>
    <row r="123" spans="1:7" s="1" customFormat="1">
      <c r="A123" s="88" t="s">
        <v>85</v>
      </c>
      <c r="B123" s="89">
        <v>0</v>
      </c>
      <c r="C123" s="90"/>
      <c r="D123" s="90">
        <f>ROUND(B123*8%,2)</f>
        <v>0</v>
      </c>
      <c r="E123" s="90">
        <f>ROUND(B123*1.25%,2)</f>
        <v>0</v>
      </c>
      <c r="F123" s="91">
        <f>B123-C123-D123-E123</f>
        <v>0</v>
      </c>
      <c r="G123" s="79"/>
    </row>
    <row r="124" spans="1:7" s="1" customFormat="1">
      <c r="A124" s="88" t="s">
        <v>86</v>
      </c>
      <c r="B124" s="89">
        <v>0</v>
      </c>
      <c r="C124" s="90">
        <f>B124*10%</f>
        <v>0</v>
      </c>
      <c r="D124" s="90">
        <f>ROUND((B124*55%)*8%,2)</f>
        <v>0</v>
      </c>
      <c r="E124" s="90"/>
      <c r="F124" s="91">
        <f t="shared" ref="F124:F139" si="4">B124-C124-D124-E124</f>
        <v>0</v>
      </c>
      <c r="G124" s="79"/>
    </row>
    <row r="125" spans="1:7" s="1" customFormat="1">
      <c r="A125" s="88" t="s">
        <v>87</v>
      </c>
      <c r="B125" s="89"/>
      <c r="C125" s="90"/>
      <c r="D125" s="90"/>
      <c r="E125" s="90"/>
      <c r="F125" s="91">
        <f t="shared" si="4"/>
        <v>0</v>
      </c>
      <c r="G125" s="79"/>
    </row>
    <row r="126" spans="1:7" s="1" customFormat="1">
      <c r="A126" s="88" t="s">
        <v>88</v>
      </c>
      <c r="B126" s="89">
        <f>+B32</f>
        <v>551.60308475999989</v>
      </c>
      <c r="C126" s="90">
        <v>0</v>
      </c>
      <c r="D126" s="90">
        <f>ROUND(B126*8%,2)</f>
        <v>44.13</v>
      </c>
      <c r="E126" s="90">
        <f>ROUND(B126*1.25%,2)</f>
        <v>6.9</v>
      </c>
      <c r="F126" s="91">
        <f t="shared" si="4"/>
        <v>500.57308475999992</v>
      </c>
      <c r="G126" s="79"/>
    </row>
    <row r="127" spans="1:7" s="1" customFormat="1">
      <c r="A127" s="88" t="s">
        <v>89</v>
      </c>
      <c r="B127" s="89">
        <f>+G32</f>
        <v>34.090874999999997</v>
      </c>
      <c r="C127" s="90">
        <v>0</v>
      </c>
      <c r="D127" s="90">
        <f>ROUND((B127*55%)*8%,2)</f>
        <v>1.5</v>
      </c>
      <c r="E127" s="90"/>
      <c r="F127" s="91">
        <f t="shared" si="4"/>
        <v>32.590874999999997</v>
      </c>
      <c r="G127" s="79"/>
    </row>
    <row r="128" spans="1:7" s="1" customFormat="1">
      <c r="A128" s="88" t="s">
        <v>90</v>
      </c>
      <c r="B128" s="89">
        <f>+B46</f>
        <v>45.966739862305069</v>
      </c>
      <c r="C128" s="90">
        <v>0</v>
      </c>
      <c r="D128" s="90">
        <f>ROUND(B128*7.25%,2)</f>
        <v>3.33</v>
      </c>
      <c r="E128" s="90"/>
      <c r="F128" s="91">
        <f t="shared" si="4"/>
        <v>42.63673986230507</v>
      </c>
      <c r="G128" s="92"/>
    </row>
    <row r="129" spans="1:7" s="1" customFormat="1">
      <c r="A129" s="88" t="s">
        <v>91</v>
      </c>
      <c r="B129" s="89">
        <f>+G46</f>
        <v>2.8407926137499997</v>
      </c>
      <c r="C129" s="90">
        <v>0</v>
      </c>
      <c r="D129" s="90">
        <f>ROUND(B129*7.25%,2)</f>
        <v>0.21</v>
      </c>
      <c r="E129" s="90"/>
      <c r="F129" s="91">
        <f t="shared" si="4"/>
        <v>2.6307926137499997</v>
      </c>
      <c r="G129" s="93"/>
    </row>
    <row r="130" spans="1:7" s="1" customFormat="1">
      <c r="A130" s="88" t="s">
        <v>92</v>
      </c>
      <c r="B130" s="89"/>
      <c r="C130" s="90"/>
      <c r="D130" s="90"/>
      <c r="E130" s="90"/>
      <c r="F130" s="91">
        <f t="shared" si="4"/>
        <v>0</v>
      </c>
      <c r="G130" s="93"/>
    </row>
    <row r="131" spans="1:7" s="1" customFormat="1">
      <c r="A131" s="88" t="s">
        <v>93</v>
      </c>
      <c r="B131" s="89"/>
      <c r="C131" s="90"/>
      <c r="D131" s="90"/>
      <c r="E131" s="90"/>
      <c r="F131" s="91">
        <f t="shared" si="4"/>
        <v>0</v>
      </c>
      <c r="G131" s="93"/>
    </row>
    <row r="132" spans="1:7" s="1" customFormat="1">
      <c r="A132" s="88" t="s">
        <v>94</v>
      </c>
      <c r="B132" s="89">
        <f>+B68</f>
        <v>118.15379451993478</v>
      </c>
      <c r="C132" s="90"/>
      <c r="D132" s="90"/>
      <c r="E132" s="90"/>
      <c r="F132" s="91">
        <f t="shared" si="4"/>
        <v>118.15379451993478</v>
      </c>
      <c r="G132" s="93"/>
    </row>
    <row r="133" spans="1:7" s="1" customFormat="1">
      <c r="A133" s="88" t="s">
        <v>95</v>
      </c>
      <c r="B133" s="89">
        <f>+G68</f>
        <v>6.4245675262499997</v>
      </c>
      <c r="C133" s="90"/>
      <c r="D133" s="90"/>
      <c r="E133" s="90"/>
      <c r="F133" s="91">
        <f t="shared" si="4"/>
        <v>6.4245675262499997</v>
      </c>
      <c r="G133" s="93"/>
    </row>
    <row r="134" spans="1:7" s="1" customFormat="1">
      <c r="A134" s="88" t="s">
        <v>96</v>
      </c>
      <c r="B134" s="89">
        <f>+B90+G90</f>
        <v>385.37865599999998</v>
      </c>
      <c r="C134" s="90"/>
      <c r="D134" s="90"/>
      <c r="E134" s="90"/>
      <c r="F134" s="91">
        <f t="shared" si="4"/>
        <v>385.37865599999998</v>
      </c>
      <c r="G134" s="93"/>
    </row>
    <row r="135" spans="1:7" s="1" customFormat="1">
      <c r="A135" s="88" t="s">
        <v>97</v>
      </c>
      <c r="B135" s="90"/>
      <c r="C135" s="90"/>
      <c r="D135" s="90"/>
      <c r="E135" s="90"/>
      <c r="F135" s="91">
        <f t="shared" si="4"/>
        <v>0</v>
      </c>
      <c r="G135" s="93"/>
    </row>
    <row r="136" spans="1:7" s="1" customFormat="1">
      <c r="A136" s="88" t="s">
        <v>98</v>
      </c>
      <c r="B136" s="90"/>
      <c r="C136" s="90"/>
      <c r="D136" s="90"/>
      <c r="E136" s="90"/>
      <c r="F136" s="91">
        <f t="shared" si="4"/>
        <v>0</v>
      </c>
      <c r="G136" s="93"/>
    </row>
    <row r="137" spans="1:7" s="1" customFormat="1">
      <c r="A137" s="88" t="s">
        <v>99</v>
      </c>
      <c r="B137" s="90"/>
      <c r="C137" s="90"/>
      <c r="D137" s="90"/>
      <c r="E137" s="90"/>
      <c r="F137" s="91">
        <f t="shared" si="4"/>
        <v>0</v>
      </c>
      <c r="G137" s="93"/>
    </row>
    <row r="138" spans="1:7" s="1" customFormat="1">
      <c r="A138" s="88" t="s">
        <v>100</v>
      </c>
      <c r="B138" s="90" t="s">
        <v>101</v>
      </c>
      <c r="C138" s="90"/>
      <c r="D138" s="90"/>
      <c r="E138" s="90"/>
      <c r="F138" s="91"/>
      <c r="G138" s="93"/>
    </row>
    <row r="139" spans="1:7" s="1" customFormat="1" ht="13.5" thickBot="1">
      <c r="A139" s="94" t="s">
        <v>102</v>
      </c>
      <c r="B139" s="95"/>
      <c r="C139" s="95"/>
      <c r="D139" s="95"/>
      <c r="E139" s="95"/>
      <c r="F139" s="91">
        <f t="shared" si="4"/>
        <v>0</v>
      </c>
      <c r="G139" s="93"/>
    </row>
    <row r="140" spans="1:7" s="1" customFormat="1" ht="13.5" thickBot="1">
      <c r="A140" s="96" t="s">
        <v>103</v>
      </c>
      <c r="B140" s="97">
        <f>SUM(B123:B139)</f>
        <v>1144.4585102822398</v>
      </c>
      <c r="C140" s="97">
        <f>SUM(C123:C139)</f>
        <v>0</v>
      </c>
      <c r="D140" s="97">
        <f>SUM(D123:D139)</f>
        <v>49.17</v>
      </c>
      <c r="E140" s="97">
        <f>SUM(E123:E139)</f>
        <v>6.9</v>
      </c>
      <c r="F140" s="98">
        <f>B140-C140-D140-E140</f>
        <v>1088.3885102822396</v>
      </c>
      <c r="G140" s="99"/>
    </row>
    <row r="141" spans="1:7" s="1" customFormat="1">
      <c r="A141" s="100"/>
      <c r="B141" s="101"/>
      <c r="C141" s="111"/>
      <c r="D141" s="111"/>
      <c r="E141" s="111"/>
      <c r="F141" s="102"/>
      <c r="G141" s="93"/>
    </row>
    <row r="142" spans="1:7" s="1" customFormat="1">
      <c r="A142" s="100"/>
      <c r="B142" s="101"/>
      <c r="C142" s="103"/>
      <c r="D142" s="112" t="s">
        <v>104</v>
      </c>
      <c r="E142" s="112"/>
      <c r="F142" s="104"/>
      <c r="G142" s="93"/>
    </row>
    <row r="143" spans="1:7" s="1" customFormat="1">
      <c r="A143" s="100"/>
      <c r="B143" s="101"/>
      <c r="C143" s="105"/>
      <c r="D143" s="112" t="s">
        <v>105</v>
      </c>
      <c r="E143" s="112"/>
      <c r="F143" s="104"/>
      <c r="G143" s="93"/>
    </row>
    <row r="144" spans="1:7" s="1" customFormat="1">
      <c r="A144" s="79"/>
      <c r="B144" s="79"/>
      <c r="C144" s="79"/>
      <c r="D144" s="113" t="s">
        <v>106</v>
      </c>
      <c r="E144" s="113"/>
      <c r="F144" s="106">
        <f>F140</f>
        <v>1088.3885102822396</v>
      </c>
      <c r="G144" s="79"/>
    </row>
    <row r="145" spans="1:7" s="1" customFormat="1">
      <c r="A145" s="79"/>
      <c r="B145" s="107"/>
      <c r="C145" s="93"/>
      <c r="D145" s="79"/>
      <c r="E145" s="79"/>
      <c r="F145" s="79"/>
      <c r="G145" s="79"/>
    </row>
    <row r="146" spans="1:7" s="1" customFormat="1">
      <c r="A146" s="3" t="s">
        <v>66</v>
      </c>
      <c r="B146" s="4" t="s">
        <v>107</v>
      </c>
      <c r="C146" s="3"/>
      <c r="D146" s="79"/>
      <c r="E146" s="79"/>
      <c r="F146" s="79"/>
      <c r="G146" s="79"/>
    </row>
    <row r="147" spans="1:7" s="1" customFormat="1">
      <c r="A147" s="3" t="s">
        <v>69</v>
      </c>
      <c r="B147" s="73"/>
      <c r="C147" s="74"/>
      <c r="D147" s="79"/>
      <c r="E147" s="79"/>
      <c r="F147" s="79"/>
      <c r="G147" s="79"/>
    </row>
    <row r="148" spans="1:7" s="1" customFormat="1">
      <c r="A148" s="3"/>
      <c r="B148" s="108"/>
      <c r="C148" s="42"/>
      <c r="D148" s="79"/>
      <c r="E148" s="79"/>
      <c r="F148" s="79"/>
      <c r="G148" s="79"/>
    </row>
    <row r="149" spans="1:7" s="1" customFormat="1">
      <c r="A149" s="3"/>
      <c r="B149" s="4"/>
      <c r="C149" s="3"/>
      <c r="D149" s="79"/>
      <c r="E149" s="79"/>
      <c r="F149" s="79"/>
      <c r="G149" s="79"/>
    </row>
    <row r="150" spans="1:7" s="1" customFormat="1">
      <c r="A150" s="3" t="s">
        <v>71</v>
      </c>
      <c r="B150" s="4" t="s">
        <v>72</v>
      </c>
      <c r="C150" s="3"/>
      <c r="D150" s="79"/>
      <c r="E150" s="79"/>
      <c r="F150" s="79"/>
      <c r="G150" s="79"/>
    </row>
    <row r="151" spans="1:7" s="1" customFormat="1">
      <c r="A151" s="3" t="s">
        <v>69</v>
      </c>
      <c r="B151" s="73"/>
      <c r="C151" s="74"/>
      <c r="D151" s="79"/>
      <c r="E151" s="79"/>
      <c r="F151" s="79"/>
      <c r="G151" s="79"/>
    </row>
    <row r="152" spans="1:7" s="1" customFormat="1">
      <c r="A152" s="3"/>
      <c r="B152" s="108"/>
      <c r="C152" s="42"/>
      <c r="D152" s="79"/>
      <c r="E152" s="79"/>
      <c r="F152" s="79"/>
      <c r="G152" s="79"/>
    </row>
    <row r="153" spans="1:7" s="1" customFormat="1">
      <c r="A153" s="3"/>
      <c r="B153" s="4"/>
      <c r="C153" s="3"/>
      <c r="D153" s="79"/>
      <c r="E153" s="79"/>
      <c r="F153" s="79"/>
      <c r="G153" s="79"/>
    </row>
    <row r="154" spans="1:7" s="1" customFormat="1">
      <c r="A154" s="3" t="s">
        <v>68</v>
      </c>
      <c r="B154" s="4" t="s">
        <v>73</v>
      </c>
      <c r="C154" s="3"/>
      <c r="D154" s="79"/>
      <c r="E154" s="79"/>
      <c r="F154" s="79"/>
      <c r="G154" s="79"/>
    </row>
    <row r="155" spans="1:7" s="1" customFormat="1">
      <c r="A155" s="3" t="s">
        <v>69</v>
      </c>
      <c r="B155" s="73"/>
      <c r="C155" s="74"/>
      <c r="D155" s="79"/>
      <c r="E155" s="79"/>
      <c r="F155" s="79"/>
      <c r="G155" s="79"/>
    </row>
    <row r="156" spans="1:7" s="1" customFormat="1">
      <c r="A156" s="3"/>
      <c r="B156" s="4"/>
      <c r="C156" s="3"/>
      <c r="D156" s="79"/>
      <c r="E156" s="79"/>
      <c r="F156" s="79"/>
      <c r="G156" s="79"/>
    </row>
    <row r="157" spans="1:7" s="1" customFormat="1">
      <c r="A157" s="3"/>
      <c r="B157" s="4"/>
      <c r="C157" s="3"/>
      <c r="D157" s="79"/>
      <c r="E157" s="79"/>
      <c r="F157" s="79"/>
      <c r="G157" s="79"/>
    </row>
    <row r="158" spans="1:7" s="1" customFormat="1" ht="13.5" thickBot="1">
      <c r="A158" s="3"/>
      <c r="B158" s="4" t="s">
        <v>108</v>
      </c>
      <c r="C158" s="3"/>
      <c r="D158" s="79"/>
      <c r="E158" s="79"/>
      <c r="F158" s="109"/>
      <c r="G158" s="109"/>
    </row>
    <row r="159" spans="1:7" s="1" customFormat="1">
      <c r="A159" s="3" t="s">
        <v>68</v>
      </c>
      <c r="B159" s="4" t="s">
        <v>76</v>
      </c>
      <c r="C159" s="3"/>
      <c r="D159" s="79"/>
      <c r="E159" s="79"/>
      <c r="F159" s="76" t="s">
        <v>109</v>
      </c>
      <c r="G159" s="79"/>
    </row>
    <row r="160" spans="1:7" s="1" customFormat="1">
      <c r="A160" s="3" t="s">
        <v>69</v>
      </c>
      <c r="B160" s="73"/>
      <c r="C160" s="74"/>
      <c r="D160" s="79"/>
      <c r="E160" s="79"/>
      <c r="F160" s="92" t="str">
        <f>+A117</f>
        <v>NESTOR MOLINA</v>
      </c>
      <c r="G160" s="79"/>
    </row>
    <row r="161" spans="1:7" s="1" customFormat="1">
      <c r="A161" s="76"/>
      <c r="B161" s="76"/>
      <c r="C161" s="76"/>
      <c r="D161" s="79"/>
      <c r="E161" s="79"/>
      <c r="F161" s="79"/>
      <c r="G161" s="79"/>
    </row>
  </sheetData>
  <mergeCells count="24">
    <mergeCell ref="A51:B51"/>
    <mergeCell ref="F51:G51"/>
    <mergeCell ref="A1:G1"/>
    <mergeCell ref="A2:G2"/>
    <mergeCell ref="A3:G3"/>
    <mergeCell ref="A12:G12"/>
    <mergeCell ref="A13:B13"/>
    <mergeCell ref="F13:G13"/>
    <mergeCell ref="A34:G34"/>
    <mergeCell ref="A35:B35"/>
    <mergeCell ref="F35:G35"/>
    <mergeCell ref="A49:G49"/>
    <mergeCell ref="A50:G50"/>
    <mergeCell ref="C141:E141"/>
    <mergeCell ref="D142:E142"/>
    <mergeCell ref="D143:E143"/>
    <mergeCell ref="D144:E144"/>
    <mergeCell ref="A72:G72"/>
    <mergeCell ref="A73:G73"/>
    <mergeCell ref="A74:B74"/>
    <mergeCell ref="F74:G74"/>
    <mergeCell ref="A116:G116"/>
    <mergeCell ref="A120:A122"/>
    <mergeCell ref="B120:B122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admon</dc:creator>
  <cp:lastModifiedBy>admon</cp:lastModifiedBy>
  <cp:lastPrinted>2008-12-13T16:09:10Z</cp:lastPrinted>
  <dcterms:created xsi:type="dcterms:W3CDTF">2008-12-13T16:06:44Z</dcterms:created>
  <dcterms:modified xsi:type="dcterms:W3CDTF">2008-12-13T16:09:59Z</dcterms:modified>
</cp:coreProperties>
</file>